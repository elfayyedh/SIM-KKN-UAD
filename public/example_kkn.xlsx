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811B5D-B7F1-4618-B0B7-A0AEBB593FC0}" xr6:coauthVersionLast="47" xr6:coauthVersionMax="47" xr10:uidLastSave="{00000000-0000-0000-0000-000000000000}"/>
  <bookViews>
    <workbookView xWindow="-108" yWindow="-108" windowWidth="23256" windowHeight="12456" xr2:uid="{32CEDF54-ECD7-4DAB-9434-38890E1DAC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M2" i="1" l="1"/>
  <c r="BZ2" i="1"/>
  <c r="C2" i="1"/>
</calcChain>
</file>

<file path=xl/sharedStrings.xml><?xml version="1.0" encoding="utf-8"?>
<sst xmlns="http://schemas.openxmlformats.org/spreadsheetml/2006/main" count="178" uniqueCount="134">
  <si>
    <t>UNIT</t>
  </si>
  <si>
    <t>lokasi</t>
  </si>
  <si>
    <t>Kecamatan</t>
  </si>
  <si>
    <t>L/P 1</t>
  </si>
  <si>
    <t>L/P 2</t>
  </si>
  <si>
    <t>L/P 3</t>
  </si>
  <si>
    <t>L/P 4</t>
  </si>
  <si>
    <t>L/P 5</t>
  </si>
  <si>
    <t>L/P 6</t>
  </si>
  <si>
    <t>L/P 7</t>
  </si>
  <si>
    <t>L/P 8</t>
  </si>
  <si>
    <t>L/P 9</t>
  </si>
  <si>
    <t>L/P 10</t>
  </si>
  <si>
    <t>L/P 11</t>
  </si>
  <si>
    <t>L/P 12</t>
  </si>
  <si>
    <t>HP 1</t>
  </si>
  <si>
    <t>HP 2</t>
  </si>
  <si>
    <t>HP 3</t>
  </si>
  <si>
    <t>HP 4</t>
  </si>
  <si>
    <t>HP 5</t>
  </si>
  <si>
    <t>HP 6</t>
  </si>
  <si>
    <t>HP 7</t>
  </si>
  <si>
    <t>HP 8</t>
  </si>
  <si>
    <t>HP 9</t>
  </si>
  <si>
    <t>HP 10</t>
  </si>
  <si>
    <t>HP 11</t>
  </si>
  <si>
    <t>HP 12</t>
  </si>
  <si>
    <t>TANGGAL PENERJUNAN KKN</t>
  </si>
  <si>
    <t>Jumlah Mahasiswa</t>
  </si>
  <si>
    <t>P</t>
  </si>
  <si>
    <t>L</t>
  </si>
  <si>
    <t>Nama1</t>
  </si>
  <si>
    <t>Nama2</t>
  </si>
  <si>
    <t>Nama3</t>
  </si>
  <si>
    <t>Nama4</t>
  </si>
  <si>
    <t>Nama5</t>
  </si>
  <si>
    <t>Nama6</t>
  </si>
  <si>
    <t>Nama7</t>
  </si>
  <si>
    <t>Nama8</t>
  </si>
  <si>
    <t>Nama9</t>
  </si>
  <si>
    <t>Nama10</t>
  </si>
  <si>
    <t>Nama11</t>
  </si>
  <si>
    <t>Nama12</t>
  </si>
  <si>
    <t>NIM1</t>
  </si>
  <si>
    <t>NIM2</t>
  </si>
  <si>
    <t>NIM3</t>
  </si>
  <si>
    <t>NIM4</t>
  </si>
  <si>
    <t>NIM5</t>
  </si>
  <si>
    <t>NIM6</t>
  </si>
  <si>
    <t>NIM7</t>
  </si>
  <si>
    <t>NIM8</t>
  </si>
  <si>
    <t>NIM9</t>
  </si>
  <si>
    <t>NIM10</t>
  </si>
  <si>
    <t>NIM11</t>
  </si>
  <si>
    <t>NIM12</t>
  </si>
  <si>
    <t>Prodi1</t>
  </si>
  <si>
    <t>Prodi2</t>
  </si>
  <si>
    <t>Prodi3</t>
  </si>
  <si>
    <t>Prodi4</t>
  </si>
  <si>
    <t>Prodi5</t>
  </si>
  <si>
    <t>Prodi6</t>
  </si>
  <si>
    <t>Prodi7</t>
  </si>
  <si>
    <t>Prodi8</t>
  </si>
  <si>
    <t>Prodi9</t>
  </si>
  <si>
    <t>Prodi10</t>
  </si>
  <si>
    <t>Prodi11</t>
  </si>
  <si>
    <t>Prodi12</t>
  </si>
  <si>
    <t>I.A.1</t>
  </si>
  <si>
    <t>Email 1</t>
  </si>
  <si>
    <t>Email 2</t>
  </si>
  <si>
    <t>Email 3</t>
  </si>
  <si>
    <t>Email 4</t>
  </si>
  <si>
    <t>Email 5</t>
  </si>
  <si>
    <t>Email 6</t>
  </si>
  <si>
    <t>Email 7</t>
  </si>
  <si>
    <t>Email 8</t>
  </si>
  <si>
    <t>Email 9</t>
  </si>
  <si>
    <t>Email 10</t>
  </si>
  <si>
    <t>Email 11</t>
  </si>
  <si>
    <t>Email 12</t>
  </si>
  <si>
    <t>Sistem Informasi</t>
  </si>
  <si>
    <t>Kabupaten</t>
  </si>
  <si>
    <t>Reguler Periode ke-140</t>
  </si>
  <si>
    <t>Jefree Fahana S.T., M.Kom.</t>
  </si>
  <si>
    <t>Wae Bue, Macang Tanggar, Komodo</t>
  </si>
  <si>
    <t>Syafaridha Tri Wahyudiah</t>
  </si>
  <si>
    <t>Safiera Auliya Yahya</t>
  </si>
  <si>
    <t>Dewi Aisyah</t>
  </si>
  <si>
    <t>Fayyadh Abdillah</t>
  </si>
  <si>
    <t>Rofi'atul Laili</t>
  </si>
  <si>
    <t>Hafizh Naufal Azmi</t>
  </si>
  <si>
    <t>Diah Chairunnisa</t>
  </si>
  <si>
    <t>Fajar Melda Kharisma</t>
  </si>
  <si>
    <t>Psikologi</t>
  </si>
  <si>
    <t>Ilmu Hukum</t>
  </si>
  <si>
    <t>Kesehatan Masyarakat</t>
  </si>
  <si>
    <t>Ilmu Komunikasi</t>
  </si>
  <si>
    <t>Pendidikan Bahasa dan Sastra Indonesia</t>
  </si>
  <si>
    <t>Pendidikan Matematika</t>
  </si>
  <si>
    <t>Sastra Indonesia</t>
  </si>
  <si>
    <t>Bahasa dan Sastra Arab</t>
  </si>
  <si>
    <t>https://docs.google.com/spreadsheets/d/1LsBygF25XoZ6Cn8405cGF-4omgRyfyzYpPQOUe7tiD4/edit</t>
  </si>
  <si>
    <t>28 Januari 2025</t>
  </si>
  <si>
    <t>I.A.2</t>
  </si>
  <si>
    <t>Nanga Nae, Macang Tanggar, Komodo</t>
  </si>
  <si>
    <t>LUSIANA INDRA WAHYUNI</t>
  </si>
  <si>
    <t>Alifta Zulfa Ramadhani</t>
  </si>
  <si>
    <t>Firda Nur Aisyah</t>
  </si>
  <si>
    <t>Mailia Zulfa Hasan</t>
  </si>
  <si>
    <t>Aulia Rofifa</t>
  </si>
  <si>
    <t>Saefudin</t>
  </si>
  <si>
    <t>Tri Yuliasih</t>
  </si>
  <si>
    <t>Thoriqin Maulana Ishaq</t>
  </si>
  <si>
    <t>Daffa Nur Fauzy</t>
  </si>
  <si>
    <t>Pendidikan Biologi</t>
  </si>
  <si>
    <t>Pendidikan Agama Islam (Kampus Yogya)</t>
  </si>
  <si>
    <t>Ilmu Hadits</t>
  </si>
  <si>
    <t>https://drive.google.com/open?id=1WeWavfHAIql70jOriCogIUDa0Hz1tZEOBCjCyiVlLXg&amp;usp=drive_copy</t>
  </si>
  <si>
    <t>I.A.3</t>
  </si>
  <si>
    <t>Lemes, Macang Tanggar, Komodo</t>
  </si>
  <si>
    <t>Mila Abusri</t>
  </si>
  <si>
    <t>Mohamad Ardi Hanzah</t>
  </si>
  <si>
    <t>Muhammad Muhannad Thaheir</t>
  </si>
  <si>
    <t>Vina Anissa Dilansari</t>
  </si>
  <si>
    <t>Sri Wahyuni Habibah</t>
  </si>
  <si>
    <t>Ayu Mubarokah</t>
  </si>
  <si>
    <t>Maulida Rifqi Rusydiani</t>
  </si>
  <si>
    <t>Tajkiatu Zahra</t>
  </si>
  <si>
    <t>Farmasi</t>
  </si>
  <si>
    <t>Fisika</t>
  </si>
  <si>
    <t>Pendidikan Agama Islam (Kampus Wates)</t>
  </si>
  <si>
    <t>https://drive.google.com/open?id=1Z-0YCVSI7zqWYvy9Haq78JS1fPWsazmUkJUf_E0w1OY&amp;usp=drive_copy</t>
  </si>
  <si>
    <t>Manggarai Barat</t>
  </si>
  <si>
    <t>81242281702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</si>
</sst>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0"/>
      <color theme="1"/>
      <name val="Arial"/>
      <family val="2"/>
    </font>
    <font>
      <b/>
      <sz val="10"/>
      <color theme="1"/>
      <name val="Calibri "/>
    </font>
    <font>
      <sz val="11"/>
      <color theme="1"/>
      <name val="Calibri "/>
    </font>
    <font>
      <sz val="10"/>
      <color theme="1"/>
      <name val="Calibri "/>
    </font>
    <font>
      <u/>
      <sz val="10"/>
      <color theme="10"/>
      <name val="Calibri "/>
    </font>
    <font>
      <sz val="10"/>
      <color rgb="FF000000"/>
      <name val="Calibri 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wrapText="1"/>
    </xf>
    <xf numFmtId="0" fontId="2" fillId="0" borderId="1" xfId="1" applyBorder="1" applyAlignment="1">
      <alignment wrapText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1" applyFont="1" applyBorder="1"/>
    <xf numFmtId="0" fontId="8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applyFont="1"/>
    <xf numFmtId="1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Z-0YCVSI7zqWYvy9Haq78JS1fPWsazmUkJUf_E0w1OY&amp;usp=drive_copy" TargetMode="External"/><Relationship Id="rId2" Type="http://schemas.openxmlformats.org/officeDocument/2006/relationships/hyperlink" Target="https://drive.google.com/open?id=1WeWavfHAIql70jOriCogIUDa0Hz1tZEOBCjCyiVlLXg&amp;usp=drive_copy" TargetMode="External"/><Relationship Id="rId1" Type="http://schemas.openxmlformats.org/officeDocument/2006/relationships/hyperlink" Target="https://docs.google.com/spreadsheets/d/1LsBygF25XoZ6Cn8405cGF-4omgRyfyzYpPQOUe7tiD4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7545-572E-44FF-B004-3615DE8CED78}">
  <dimension ref="A1:CC4"/>
  <sheetViews>
    <sheetView tabSelected="1" zoomScale="115" zoomScaleNormal="115" workbookViewId="0">
      <selection activeCell="G8" sqref="G8"/>
    </sheetView>
  </sheetViews>
  <sheetFormatPr defaultColWidth="9.109375" defaultRowHeight="13.8"/>
  <cols>
    <col min="1" max="1" width="4.5546875" style="16" bestFit="1" customWidth="1"/>
    <col min="2" max="2" width="31.77734375" style="16" bestFit="1" customWidth="1"/>
    <col min="3" max="3" width="18.77734375" style="16" customWidth="1"/>
    <col min="4" max="4" width="22" style="16" customWidth="1"/>
    <col min="5" max="5" width="17.88671875" style="16" customWidth="1"/>
    <col min="6" max="6" width="12" style="16" customWidth="1"/>
    <col min="7" max="7" width="14.44140625" style="16" bestFit="1" customWidth="1"/>
    <col min="8" max="16" width="13.88671875" style="16" bestFit="1" customWidth="1"/>
    <col min="17" max="17" width="11.5546875" style="16" bestFit="1" customWidth="1"/>
    <col min="18" max="18" width="16.5546875" style="16" customWidth="1"/>
    <col min="19" max="19" width="16.21875" style="16" customWidth="1"/>
    <col min="20" max="28" width="12.44140625" style="16" bestFit="1" customWidth="1"/>
    <col min="29" max="29" width="27.6640625" style="16" customWidth="1"/>
    <col min="30" max="30" width="29.77734375" style="16" customWidth="1"/>
    <col min="31" max="31" width="28.88671875" style="16" customWidth="1"/>
    <col min="32" max="32" width="19.44140625" style="16" bestFit="1" customWidth="1"/>
    <col min="33" max="33" width="21.44140625" style="16" bestFit="1" customWidth="1"/>
    <col min="34" max="35" width="38.33203125" style="16" bestFit="1" customWidth="1"/>
    <col min="36" max="37" width="16.88671875" style="16" bestFit="1" customWidth="1"/>
    <col min="38" max="39" width="21.109375" style="16" bestFit="1" customWidth="1"/>
    <col min="40" max="40" width="37.44140625" style="16" bestFit="1" customWidth="1"/>
    <col min="41" max="43" width="6.6640625" style="16" bestFit="1" customWidth="1"/>
    <col min="44" max="52" width="4.6640625" style="16" bestFit="1" customWidth="1"/>
    <col min="53" max="53" width="14.5546875" style="16" customWidth="1"/>
    <col min="54" max="54" width="14.88671875" style="16" customWidth="1"/>
    <col min="55" max="55" width="16.44140625" style="16" customWidth="1"/>
    <col min="56" max="64" width="15.109375" style="16" bestFit="1" customWidth="1"/>
    <col min="65" max="65" width="19.109375" style="16" customWidth="1"/>
    <col min="66" max="66" width="14.88671875" style="16" customWidth="1"/>
    <col min="67" max="67" width="15.88671875" style="16" customWidth="1"/>
    <col min="68" max="76" width="15.88671875" style="16" bestFit="1" customWidth="1"/>
    <col min="77" max="77" width="28" style="16" bestFit="1" customWidth="1"/>
    <col min="78" max="79" width="7.33203125" style="16" bestFit="1" customWidth="1"/>
    <col min="80" max="80" width="22.88671875" style="16" bestFit="1" customWidth="1"/>
    <col min="81" max="81" width="8.44140625" style="16" bestFit="1" customWidth="1"/>
    <col min="82" max="1999" width="9.109375" style="16"/>
    <col min="2000" max="2000" width="2.44140625" style="16" customWidth="1"/>
    <col min="2001" max="16384" width="9.109375" style="16"/>
  </cols>
  <sheetData>
    <row r="1" spans="1:81" s="9" customFormat="1" ht="39.6">
      <c r="A1" s="6" t="s">
        <v>0</v>
      </c>
      <c r="B1" s="6" t="s">
        <v>1</v>
      </c>
      <c r="C1" s="6" t="s">
        <v>2</v>
      </c>
      <c r="D1" s="6" t="s">
        <v>81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49</v>
      </c>
      <c r="X1" s="6" t="s">
        <v>50</v>
      </c>
      <c r="Y1" s="6" t="s">
        <v>51</v>
      </c>
      <c r="Z1" s="6" t="s">
        <v>52</v>
      </c>
      <c r="AA1" s="6" t="s">
        <v>53</v>
      </c>
      <c r="AB1" s="6" t="s">
        <v>54</v>
      </c>
      <c r="AC1" s="6" t="s">
        <v>55</v>
      </c>
      <c r="AD1" s="6" t="s">
        <v>56</v>
      </c>
      <c r="AE1" s="6" t="s">
        <v>57</v>
      </c>
      <c r="AF1" s="6" t="s">
        <v>58</v>
      </c>
      <c r="AG1" s="6" t="s">
        <v>59</v>
      </c>
      <c r="AH1" s="6" t="s">
        <v>60</v>
      </c>
      <c r="AI1" s="6" t="s">
        <v>61</v>
      </c>
      <c r="AJ1" s="6" t="s">
        <v>62</v>
      </c>
      <c r="AK1" s="6" t="s">
        <v>63</v>
      </c>
      <c r="AL1" s="6" t="s">
        <v>64</v>
      </c>
      <c r="AM1" s="6" t="s">
        <v>65</v>
      </c>
      <c r="AN1" s="6" t="s">
        <v>66</v>
      </c>
      <c r="AO1" s="6" t="s">
        <v>3</v>
      </c>
      <c r="AP1" s="6" t="s">
        <v>4</v>
      </c>
      <c r="AQ1" s="6" t="s">
        <v>5</v>
      </c>
      <c r="AR1" s="6" t="s">
        <v>6</v>
      </c>
      <c r="AS1" s="6" t="s">
        <v>7</v>
      </c>
      <c r="AT1" s="6" t="s">
        <v>8</v>
      </c>
      <c r="AU1" s="6" t="s">
        <v>9</v>
      </c>
      <c r="AV1" s="6" t="s">
        <v>10</v>
      </c>
      <c r="AW1" s="6" t="s">
        <v>11</v>
      </c>
      <c r="AX1" s="6" t="s">
        <v>12</v>
      </c>
      <c r="AY1" s="6" t="s">
        <v>13</v>
      </c>
      <c r="AZ1" s="6" t="s">
        <v>14</v>
      </c>
      <c r="BA1" s="7" t="s">
        <v>15</v>
      </c>
      <c r="BB1" s="7" t="s">
        <v>16</v>
      </c>
      <c r="BC1" s="7" t="s">
        <v>17</v>
      </c>
      <c r="BD1" s="7" t="s">
        <v>18</v>
      </c>
      <c r="BE1" s="7" t="s">
        <v>19</v>
      </c>
      <c r="BF1" s="7" t="s">
        <v>20</v>
      </c>
      <c r="BG1" s="7" t="s">
        <v>21</v>
      </c>
      <c r="BH1" s="7" t="s">
        <v>22</v>
      </c>
      <c r="BI1" s="7" t="s">
        <v>23</v>
      </c>
      <c r="BJ1" s="6" t="s">
        <v>24</v>
      </c>
      <c r="BK1" s="6" t="s">
        <v>25</v>
      </c>
      <c r="BL1" s="6" t="s">
        <v>26</v>
      </c>
      <c r="BM1" s="6" t="s">
        <v>68</v>
      </c>
      <c r="BN1" s="6" t="s">
        <v>69</v>
      </c>
      <c r="BO1" s="6" t="s">
        <v>70</v>
      </c>
      <c r="BP1" s="6" t="s">
        <v>71</v>
      </c>
      <c r="BQ1" s="6" t="s">
        <v>72</v>
      </c>
      <c r="BR1" s="6" t="s">
        <v>73</v>
      </c>
      <c r="BS1" s="6" t="s">
        <v>74</v>
      </c>
      <c r="BT1" s="6" t="s">
        <v>75</v>
      </c>
      <c r="BU1" s="6" t="s">
        <v>76</v>
      </c>
      <c r="BV1" s="6" t="s">
        <v>77</v>
      </c>
      <c r="BW1" s="6" t="s">
        <v>78</v>
      </c>
      <c r="BX1" s="6" t="s">
        <v>79</v>
      </c>
      <c r="BY1" s="6" t="s">
        <v>27</v>
      </c>
      <c r="BZ1" s="8" t="s">
        <v>28</v>
      </c>
    </row>
    <row r="2" spans="1:81" s="10" customFormat="1" ht="13.2">
      <c r="A2" s="10" t="s">
        <v>67</v>
      </c>
      <c r="B2" s="10" t="s">
        <v>84</v>
      </c>
      <c r="C2" s="10" t="str">
        <f>RIGHT(B2, 6)</f>
        <v>Komodo</v>
      </c>
      <c r="D2" s="10" t="s">
        <v>132</v>
      </c>
      <c r="E2" s="12" t="s">
        <v>85</v>
      </c>
      <c r="F2" s="12"/>
      <c r="G2" s="12"/>
      <c r="H2" s="12"/>
      <c r="I2" s="12"/>
      <c r="J2" s="12"/>
      <c r="K2" s="12"/>
      <c r="L2" s="12"/>
      <c r="M2" s="12"/>
      <c r="Q2" s="12">
        <v>2100013155</v>
      </c>
      <c r="R2" s="12"/>
      <c r="S2" s="12"/>
      <c r="T2" s="12"/>
      <c r="U2" s="12"/>
      <c r="V2" s="12"/>
      <c r="W2" s="12"/>
      <c r="X2" s="12"/>
      <c r="Y2" s="12"/>
      <c r="AC2" s="12" t="s">
        <v>93</v>
      </c>
      <c r="AD2" s="12"/>
      <c r="AE2" s="12"/>
      <c r="AF2" s="12"/>
      <c r="AG2" s="12"/>
      <c r="AH2" s="12"/>
      <c r="AI2" s="12"/>
      <c r="AJ2" s="12"/>
      <c r="AK2" s="12"/>
      <c r="AO2" s="12" t="s">
        <v>29</v>
      </c>
      <c r="AP2" s="12"/>
      <c r="AQ2" s="12"/>
      <c r="AR2" s="12"/>
      <c r="AS2" s="12"/>
      <c r="AT2" s="12"/>
      <c r="AU2" s="12"/>
      <c r="AV2" s="12"/>
      <c r="AW2" s="12"/>
      <c r="BA2" s="13" t="s">
        <v>133</v>
      </c>
      <c r="BB2" s="13"/>
      <c r="BC2" s="13"/>
      <c r="BD2" s="13"/>
      <c r="BE2" s="13"/>
      <c r="BF2" s="13"/>
      <c r="BG2" s="13"/>
      <c r="BH2" s="13"/>
      <c r="BI2" s="13"/>
      <c r="BM2" s="11" t="str">
        <f>LOWER(Q2 &amp; "@webmail.uad.ac.id")</f>
        <v>2100013155@webmail.uad.ac.id</v>
      </c>
      <c r="BN2" s="11"/>
      <c r="BO2" s="11"/>
      <c r="BP2" s="11"/>
      <c r="BQ2" s="11"/>
      <c r="BR2" s="11"/>
      <c r="BS2" s="11"/>
      <c r="BT2" s="11"/>
      <c r="BU2" s="11"/>
      <c r="BV2" s="11"/>
      <c r="BY2" s="14">
        <v>45685</v>
      </c>
      <c r="BZ2" s="15">
        <f t="shared" ref="BZ2" si="0">COUNTA(E2:P2)</f>
        <v>1</v>
      </c>
    </row>
    <row r="3" spans="1:81" s="10" customFormat="1" ht="13.2">
      <c r="B3" s="17"/>
      <c r="C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CB3" s="14"/>
      <c r="CC3" s="15"/>
    </row>
    <row r="4" spans="1:81" s="10" customFormat="1" ht="13.2">
      <c r="B4" s="17"/>
      <c r="C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CB4" s="14"/>
      <c r="CC4" s="1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B991-4C1E-4778-8F02-398C8F710FA8}">
  <dimension ref="A3:BQ6"/>
  <sheetViews>
    <sheetView topLeftCell="BL1" workbookViewId="0">
      <selection activeCell="BL5" sqref="BL5"/>
    </sheetView>
  </sheetViews>
  <sheetFormatPr defaultColWidth="72" defaultRowHeight="14.4"/>
  <cols>
    <col min="1" max="1" width="20.5546875" bestFit="1" customWidth="1"/>
    <col min="2" max="2" width="4.88671875" bestFit="1" customWidth="1"/>
    <col min="3" max="3" width="24.6640625" bestFit="1" customWidth="1"/>
    <col min="4" max="4" width="33.88671875" bestFit="1" customWidth="1"/>
    <col min="6" max="6" width="15.109375" bestFit="1" customWidth="1"/>
    <col min="7" max="7" width="13.109375" bestFit="1" customWidth="1"/>
    <col min="8" max="9" width="16.33203125" bestFit="1" customWidth="1"/>
    <col min="10" max="10" width="11.33203125" bestFit="1" customWidth="1"/>
    <col min="11" max="11" width="14.109375" bestFit="1" customWidth="1"/>
    <col min="12" max="12" width="15.109375" bestFit="1" customWidth="1"/>
    <col min="13" max="13" width="19.44140625" bestFit="1" customWidth="1"/>
    <col min="14" max="14" width="14.44140625" bestFit="1" customWidth="1"/>
    <col min="15" max="17" width="16.5546875" customWidth="1"/>
    <col min="18" max="26" width="11" bestFit="1" customWidth="1"/>
    <col min="30" max="30" width="16.44140625" bestFit="1" customWidth="1"/>
    <col min="31" max="31" width="10.88671875" bestFit="1" customWidth="1"/>
    <col min="32" max="33" width="20.44140625" bestFit="1" customWidth="1"/>
    <col min="34" max="34" width="35.88671875" bestFit="1" customWidth="1"/>
    <col min="35" max="35" width="36.88671875" bestFit="1" customWidth="1"/>
    <col min="36" max="36" width="20.6640625" bestFit="1" customWidth="1"/>
    <col min="37" max="37" width="37" bestFit="1" customWidth="1"/>
    <col min="38" max="38" width="10.33203125" bestFit="1" customWidth="1"/>
    <col min="42" max="49" width="2.33203125" bestFit="1" customWidth="1"/>
    <col min="50" max="50" width="2" bestFit="1" customWidth="1"/>
    <col min="54" max="62" width="12" bestFit="1" customWidth="1"/>
    <col min="66" max="66" width="12" bestFit="1" customWidth="1"/>
    <col min="67" max="67" width="71.88671875" bestFit="1" customWidth="1"/>
    <col min="68" max="68" width="14.109375" bestFit="1" customWidth="1"/>
    <col min="69" max="69" width="2" bestFit="1" customWidth="1"/>
  </cols>
  <sheetData>
    <row r="3" spans="1:69" ht="15" thickBot="1"/>
    <row r="4" spans="1:69" ht="29.4" thickBot="1">
      <c r="A4" s="1" t="s">
        <v>82</v>
      </c>
      <c r="B4" s="2" t="s">
        <v>67</v>
      </c>
      <c r="C4" s="1" t="s">
        <v>83</v>
      </c>
      <c r="D4" s="1" t="s">
        <v>84</v>
      </c>
      <c r="E4" s="1"/>
      <c r="F4" s="1" t="s">
        <v>85</v>
      </c>
      <c r="G4" s="1" t="s">
        <v>86</v>
      </c>
      <c r="H4" s="1" t="s">
        <v>87</v>
      </c>
      <c r="I4" s="1" t="s">
        <v>88</v>
      </c>
      <c r="J4" s="1" t="s">
        <v>89</v>
      </c>
      <c r="K4" s="1" t="s">
        <v>90</v>
      </c>
      <c r="L4" s="1" t="s">
        <v>91</v>
      </c>
      <c r="M4" s="3" t="s">
        <v>92</v>
      </c>
      <c r="N4" s="1"/>
      <c r="O4" s="1"/>
      <c r="P4" s="1"/>
      <c r="Q4" s="1"/>
      <c r="R4" s="4">
        <v>2100013155</v>
      </c>
      <c r="S4" s="4">
        <v>2100024146</v>
      </c>
      <c r="T4" s="4">
        <v>2100029181</v>
      </c>
      <c r="U4" s="4">
        <v>2100030342</v>
      </c>
      <c r="V4" s="4">
        <v>2111003042</v>
      </c>
      <c r="W4" s="4">
        <v>2111006029</v>
      </c>
      <c r="X4" s="4">
        <v>2111025029</v>
      </c>
      <c r="Y4" s="4">
        <v>2111028046</v>
      </c>
      <c r="Z4" s="1"/>
      <c r="AA4" s="1"/>
      <c r="AB4" s="1"/>
      <c r="AC4" s="1"/>
      <c r="AD4" s="1" t="s">
        <v>93</v>
      </c>
      <c r="AE4" s="1" t="s">
        <v>94</v>
      </c>
      <c r="AF4" s="1" t="s">
        <v>95</v>
      </c>
      <c r="AG4" s="1" t="s">
        <v>96</v>
      </c>
      <c r="AH4" s="1" t="s">
        <v>97</v>
      </c>
      <c r="AI4" s="1" t="s">
        <v>98</v>
      </c>
      <c r="AJ4" s="1" t="s">
        <v>99</v>
      </c>
      <c r="AK4" s="3" t="s">
        <v>100</v>
      </c>
      <c r="AL4" s="1"/>
      <c r="AM4" s="1"/>
      <c r="AN4" s="1"/>
      <c r="AO4" s="1"/>
      <c r="AP4" s="1" t="s">
        <v>29</v>
      </c>
      <c r="AQ4" s="1" t="s">
        <v>29</v>
      </c>
      <c r="AR4" s="1" t="s">
        <v>29</v>
      </c>
      <c r="AS4" s="1" t="s">
        <v>30</v>
      </c>
      <c r="AT4" s="1" t="s">
        <v>29</v>
      </c>
      <c r="AU4" s="1" t="s">
        <v>30</v>
      </c>
      <c r="AV4" s="1" t="s">
        <v>29</v>
      </c>
      <c r="AW4" s="1" t="s">
        <v>29</v>
      </c>
      <c r="AX4" s="1"/>
      <c r="AY4" s="1"/>
      <c r="AZ4" s="1"/>
      <c r="BA4" s="1"/>
      <c r="BB4" s="4">
        <v>81242281702</v>
      </c>
      <c r="BC4" s="4">
        <v>83838817721</v>
      </c>
      <c r="BD4" s="4">
        <v>83128346951</v>
      </c>
      <c r="BE4" s="4">
        <v>85159850401</v>
      </c>
      <c r="BF4" s="4">
        <v>85731791972</v>
      </c>
      <c r="BG4" s="4">
        <v>895605858852</v>
      </c>
      <c r="BH4" s="4">
        <v>85600063921</v>
      </c>
      <c r="BI4" s="4">
        <v>82283380567</v>
      </c>
      <c r="BJ4" s="1"/>
      <c r="BK4" s="1"/>
      <c r="BL4" s="1"/>
      <c r="BM4" s="1"/>
      <c r="BN4" s="1">
        <v>1.98405282016061E+23</v>
      </c>
      <c r="BO4" s="5" t="s">
        <v>101</v>
      </c>
      <c r="BP4" s="4" t="s">
        <v>102</v>
      </c>
      <c r="BQ4" s="2">
        <v>8</v>
      </c>
    </row>
    <row r="5" spans="1:69" ht="29.4" thickBot="1">
      <c r="A5" s="1" t="s">
        <v>82</v>
      </c>
      <c r="B5" s="2" t="s">
        <v>103</v>
      </c>
      <c r="C5" s="1" t="s">
        <v>83</v>
      </c>
      <c r="D5" s="1" t="s">
        <v>104</v>
      </c>
      <c r="E5" s="1"/>
      <c r="F5" s="1" t="s">
        <v>105</v>
      </c>
      <c r="G5" s="1" t="s">
        <v>106</v>
      </c>
      <c r="H5" s="1" t="s">
        <v>107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113</v>
      </c>
      <c r="O5" s="1"/>
      <c r="P5" s="1"/>
      <c r="Q5" s="1"/>
      <c r="R5" s="4">
        <v>2100008008</v>
      </c>
      <c r="S5" s="4">
        <v>2100013035</v>
      </c>
      <c r="T5" s="4">
        <v>2100025007</v>
      </c>
      <c r="U5" s="4">
        <v>2100029042</v>
      </c>
      <c r="V5" s="4">
        <v>2100030094</v>
      </c>
      <c r="W5" s="4">
        <v>2100031153</v>
      </c>
      <c r="X5" s="4">
        <v>2111006028</v>
      </c>
      <c r="Y5" s="4">
        <v>2111016049</v>
      </c>
      <c r="Z5" s="4">
        <v>2111027023</v>
      </c>
      <c r="AA5" s="1"/>
      <c r="AB5" s="1"/>
      <c r="AC5" s="1"/>
      <c r="AD5" s="1" t="s">
        <v>114</v>
      </c>
      <c r="AE5" s="1" t="s">
        <v>93</v>
      </c>
      <c r="AF5" s="1" t="s">
        <v>99</v>
      </c>
      <c r="AG5" s="1" t="s">
        <v>95</v>
      </c>
      <c r="AH5" s="1" t="s">
        <v>96</v>
      </c>
      <c r="AI5" s="1" t="s">
        <v>115</v>
      </c>
      <c r="AJ5" s="1" t="s">
        <v>98</v>
      </c>
      <c r="AK5" s="1" t="s">
        <v>80</v>
      </c>
      <c r="AL5" s="1" t="s">
        <v>116</v>
      </c>
      <c r="AM5" s="1"/>
      <c r="AN5" s="1"/>
      <c r="AO5" s="1"/>
      <c r="AP5" s="1" t="s">
        <v>29</v>
      </c>
      <c r="AQ5" s="1" t="s">
        <v>29</v>
      </c>
      <c r="AR5" s="1" t="s">
        <v>29</v>
      </c>
      <c r="AS5" s="1" t="s">
        <v>29</v>
      </c>
      <c r="AT5" s="1" t="s">
        <v>29</v>
      </c>
      <c r="AU5" s="1" t="s">
        <v>30</v>
      </c>
      <c r="AV5" s="1" t="s">
        <v>29</v>
      </c>
      <c r="AW5" s="1" t="s">
        <v>30</v>
      </c>
      <c r="AX5" s="1" t="s">
        <v>30</v>
      </c>
      <c r="AY5" s="1"/>
      <c r="AZ5" s="1"/>
      <c r="BA5" s="1"/>
      <c r="BB5" s="4">
        <v>83123359676</v>
      </c>
      <c r="BC5" s="4">
        <v>89515995308</v>
      </c>
      <c r="BD5" s="4">
        <v>81215737717</v>
      </c>
      <c r="BE5" s="4">
        <v>88286696572</v>
      </c>
      <c r="BF5" s="4">
        <v>82251274808</v>
      </c>
      <c r="BG5" s="4">
        <v>81365950941</v>
      </c>
      <c r="BH5" s="4">
        <v>82326098266</v>
      </c>
      <c r="BI5" s="4">
        <v>895326844313</v>
      </c>
      <c r="BJ5" s="4">
        <v>89504138388</v>
      </c>
      <c r="BK5" s="1"/>
      <c r="BL5" s="1"/>
      <c r="BM5" s="1"/>
      <c r="BN5" s="1">
        <v>1.98405282016061E+23</v>
      </c>
      <c r="BO5" s="5" t="s">
        <v>117</v>
      </c>
      <c r="BP5" s="4" t="s">
        <v>102</v>
      </c>
      <c r="BQ5" s="2">
        <v>9</v>
      </c>
    </row>
    <row r="6" spans="1:69" ht="29.4" thickBot="1">
      <c r="A6" s="1" t="s">
        <v>82</v>
      </c>
      <c r="B6" s="2" t="s">
        <v>118</v>
      </c>
      <c r="C6" s="1" t="s">
        <v>83</v>
      </c>
      <c r="D6" s="1" t="s">
        <v>119</v>
      </c>
      <c r="E6" s="1"/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127</v>
      </c>
      <c r="N6" s="1"/>
      <c r="O6" s="1"/>
      <c r="P6" s="1"/>
      <c r="Q6" s="1"/>
      <c r="R6" s="4">
        <v>2100023042</v>
      </c>
      <c r="S6" s="4">
        <v>2100024118</v>
      </c>
      <c r="T6" s="4">
        <v>2100027034</v>
      </c>
      <c r="U6" s="4">
        <v>2100029043</v>
      </c>
      <c r="V6" s="4">
        <v>2100030074</v>
      </c>
      <c r="W6" s="4">
        <v>2111008029</v>
      </c>
      <c r="X6" s="4">
        <v>2111014008</v>
      </c>
      <c r="Y6" s="4">
        <v>2111331011</v>
      </c>
      <c r="Z6" s="1"/>
      <c r="AA6" s="1"/>
      <c r="AB6" s="1"/>
      <c r="AC6" s="1"/>
      <c r="AD6" s="1" t="s">
        <v>128</v>
      </c>
      <c r="AE6" s="1" t="s">
        <v>94</v>
      </c>
      <c r="AF6" s="1" t="s">
        <v>116</v>
      </c>
      <c r="AG6" s="1" t="s">
        <v>95</v>
      </c>
      <c r="AH6" s="1" t="s">
        <v>96</v>
      </c>
      <c r="AI6" s="1" t="s">
        <v>114</v>
      </c>
      <c r="AJ6" s="1" t="s">
        <v>129</v>
      </c>
      <c r="AK6" s="3" t="s">
        <v>130</v>
      </c>
      <c r="AL6" s="1"/>
      <c r="AM6" s="1"/>
      <c r="AN6" s="1"/>
      <c r="AO6" s="1"/>
      <c r="AP6" s="1" t="s">
        <v>29</v>
      </c>
      <c r="AQ6" s="1" t="s">
        <v>30</v>
      </c>
      <c r="AR6" s="1" t="s">
        <v>30</v>
      </c>
      <c r="AS6" s="1" t="s">
        <v>29</v>
      </c>
      <c r="AT6" s="1" t="s">
        <v>29</v>
      </c>
      <c r="AU6" s="1" t="s">
        <v>29</v>
      </c>
      <c r="AV6" s="1" t="s">
        <v>29</v>
      </c>
      <c r="AW6" s="1" t="s">
        <v>29</v>
      </c>
      <c r="AX6" s="1"/>
      <c r="AY6" s="1"/>
      <c r="AZ6" s="1"/>
      <c r="BA6" s="1"/>
      <c r="BB6" s="4">
        <v>82186553768</v>
      </c>
      <c r="BC6" s="4">
        <v>87731124024</v>
      </c>
      <c r="BD6" s="4">
        <v>82141815963</v>
      </c>
      <c r="BE6" s="4">
        <v>85351943832</v>
      </c>
      <c r="BF6" s="4">
        <v>8997357492</v>
      </c>
      <c r="BG6" s="4">
        <v>81215353358</v>
      </c>
      <c r="BH6" s="4">
        <v>81227629083</v>
      </c>
      <c r="BI6" s="4">
        <v>82277371223</v>
      </c>
      <c r="BJ6" s="1"/>
      <c r="BK6" s="1"/>
      <c r="BL6" s="1"/>
      <c r="BM6" s="1"/>
      <c r="BN6" s="1">
        <v>1.98405282016061E+23</v>
      </c>
      <c r="BO6" s="5" t="s">
        <v>131</v>
      </c>
      <c r="BP6" s="4" t="s">
        <v>102</v>
      </c>
      <c r="BQ6" s="2">
        <v>8</v>
      </c>
    </row>
  </sheetData>
  <hyperlinks>
    <hyperlink ref="BO4" r:id="rId1" xr:uid="{CB8EEBCD-C0F7-4BB1-B199-115D57AFC0A3}"/>
    <hyperlink ref="BO5" r:id="rId2" xr:uid="{FE347592-78AA-465E-B82B-129717C78785}"/>
    <hyperlink ref="BO6" r:id="rId3" xr:uid="{C203CA37-28D9-40BF-9ECF-34D79EBA86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Rosyam Dani</dc:creator>
  <cp:lastModifiedBy>Faiz El Fayyedh</cp:lastModifiedBy>
  <dcterms:created xsi:type="dcterms:W3CDTF">2024-07-04T19:13:53Z</dcterms:created>
  <dcterms:modified xsi:type="dcterms:W3CDTF">2025-12-15T13:20:53Z</dcterms:modified>
</cp:coreProperties>
</file>